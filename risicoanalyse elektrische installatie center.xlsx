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35" yWindow="3825" windowWidth="12120" windowHeight="4020" tabRatio="947" activeTab="1"/>
  </bookViews>
  <sheets>
    <sheet name="Algemeen" sheetId="1" r:id="rId1"/>
    <sheet name="RIE Oude elektr. inst." sheetId="14" r:id="rId2"/>
  </sheets>
  <definedNames>
    <definedName name="_xlnm.Print_Titles" localSheetId="1">'RIE Oude elektr. inst.'!$1:$11</definedName>
  </definedNames>
  <calcPr calcId="145621" concurrentCalc="0"/>
</workbook>
</file>

<file path=xl/calcChain.xml><?xml version="1.0" encoding="utf-8"?>
<calcChain xmlns="http://schemas.openxmlformats.org/spreadsheetml/2006/main">
  <c r="K44" i="14" l="1"/>
  <c r="K43" i="14"/>
  <c r="E43" i="14"/>
  <c r="E44" i="14"/>
  <c r="E12" i="14"/>
  <c r="K28" i="14"/>
  <c r="E28" i="14"/>
  <c r="K33" i="14"/>
  <c r="E33" i="14"/>
  <c r="K18" i="14"/>
  <c r="E18" i="14"/>
  <c r="K29" i="14"/>
  <c r="E29" i="14"/>
  <c r="K27" i="14"/>
  <c r="E27" i="14"/>
  <c r="E23" i="14"/>
  <c r="E24" i="14"/>
  <c r="E25" i="14"/>
  <c r="E26" i="14"/>
  <c r="K25" i="14"/>
  <c r="K23" i="14"/>
  <c r="K24" i="14"/>
  <c r="K26" i="14"/>
  <c r="K20" i="14"/>
  <c r="E20" i="14"/>
  <c r="K17" i="14"/>
  <c r="E17" i="14"/>
  <c r="K16" i="14"/>
  <c r="E16" i="14"/>
  <c r="K14" i="14"/>
  <c r="E14" i="14"/>
  <c r="K13" i="14"/>
  <c r="E13" i="14"/>
  <c r="K22" i="14"/>
  <c r="E22" i="14"/>
  <c r="K21" i="14"/>
  <c r="E21" i="14"/>
  <c r="K19" i="14"/>
  <c r="E19" i="14"/>
  <c r="K15" i="14"/>
  <c r="E15" i="14"/>
  <c r="K12" i="14"/>
  <c r="K40" i="14"/>
  <c r="E40" i="14"/>
  <c r="K39" i="14"/>
  <c r="E39" i="14"/>
  <c r="K38" i="14"/>
  <c r="E38" i="14"/>
  <c r="K37" i="14"/>
  <c r="E37" i="14"/>
  <c r="K36" i="14"/>
  <c r="E36" i="14"/>
  <c r="K35" i="14"/>
  <c r="E35" i="14"/>
  <c r="K34" i="14"/>
  <c r="E34" i="14"/>
  <c r="K32" i="14"/>
  <c r="E32" i="14"/>
  <c r="K31" i="14"/>
  <c r="E31" i="14"/>
  <c r="K30" i="14"/>
  <c r="E30" i="14"/>
</calcChain>
</file>

<file path=xl/sharedStrings.xml><?xml version="1.0" encoding="utf-8"?>
<sst xmlns="http://schemas.openxmlformats.org/spreadsheetml/2006/main" count="167" uniqueCount="148">
  <si>
    <t>Toegang tot de verkeerde installatie of Bord</t>
  </si>
  <si>
    <t>Locatie:</t>
  </si>
  <si>
    <t>Elektrisch Bord</t>
  </si>
  <si>
    <t>Bordnr:</t>
  </si>
  <si>
    <t>Spanning:</t>
  </si>
  <si>
    <t>Net:</t>
  </si>
  <si>
    <t xml:space="preserve">Icc: </t>
  </si>
  <si>
    <t>Elektrisch Bord - Elektrische omgeving 
Elektrische ruimte</t>
  </si>
  <si>
    <t>Installatie:</t>
  </si>
  <si>
    <t>Gevaren</t>
  </si>
  <si>
    <t xml:space="preserve">Risico's  </t>
  </si>
  <si>
    <t>Elektriciteit</t>
  </si>
  <si>
    <t>Sommige delen steeds onder spanning</t>
  </si>
  <si>
    <t>Bereikbaarheid - toegankelijkheid elektrische bord(en)</t>
  </si>
  <si>
    <t>Elektrische schema's
(Foutief, niet as-built, …)</t>
  </si>
  <si>
    <t>Keuring elektrische installatie door Externe Dienst Technische Controle (EDTC)
- Niet gekeurd
- Afgekeurd 
- Opmerkingen - inbreuken</t>
  </si>
  <si>
    <t>Elektrische risico's</t>
  </si>
  <si>
    <t>Ernst (E)</t>
  </si>
  <si>
    <t>ramp (enkele doden of schade &gt; 250.000€)</t>
  </si>
  <si>
    <t xml:space="preserve">( R ) Risicocijfer = W x B x E
</t>
  </si>
  <si>
    <t>E</t>
  </si>
  <si>
    <t>RISICO-EVALUATIEMETHODE VAN GRAHAM EN KINNEY</t>
  </si>
  <si>
    <t>Volgende scores worden bij deze methode gebruikt:</t>
  </si>
  <si>
    <t>Waarschijnlijkheid (W)</t>
  </si>
  <si>
    <t>Score</t>
  </si>
  <si>
    <t>te verwachten</t>
  </si>
  <si>
    <t>goed mogelijk</t>
  </si>
  <si>
    <t>ongewoon</t>
  </si>
  <si>
    <t>onwaarschijnlijk maar mogelijlk</t>
  </si>
  <si>
    <t>denkbaar, maar zeer onwaarschijnlijk</t>
  </si>
  <si>
    <t>praktisch onmogelijk</t>
  </si>
  <si>
    <t>Blootstellingsduur (B)</t>
  </si>
  <si>
    <t>voortdurend</t>
  </si>
  <si>
    <t>regelmatig (dagelijks)</t>
  </si>
  <si>
    <t>af en toe (1 maal per week)</t>
  </si>
  <si>
    <t>soms (maandelijks)</t>
  </si>
  <si>
    <t>zelden (enkele malen per jaar)</t>
  </si>
  <si>
    <t>zeer zelden (éénmaal per jaar)</t>
  </si>
  <si>
    <t>catastrofe (talrijke doden of schade &gt;2.500.000€)</t>
  </si>
  <si>
    <t>ernstig (met blijvend letsel of schade &gt;2.500€)</t>
  </si>
  <si>
    <t>belangrijk (arbeidsongeschiktheid of schade &gt;250€)</t>
  </si>
  <si>
    <t>gering (klein ongeval met EHBO of schade &gt;25€</t>
  </si>
  <si>
    <t>Zeer hoog risico: werkzaamheden stilleggen</t>
  </si>
  <si>
    <t>R &gt; 400</t>
  </si>
  <si>
    <t>Hoog risico: onmiddellijke verbetering vereist</t>
  </si>
  <si>
    <t xml:space="preserve">&gt;200 R &lt; 400 </t>
  </si>
  <si>
    <t>Belangrijk risico: maatregelen vereist</t>
  </si>
  <si>
    <t xml:space="preserve">&gt;70 R &lt; 200 </t>
  </si>
  <si>
    <t xml:space="preserve">&gt;20 R &lt; 70 </t>
  </si>
  <si>
    <t>aandacht vereist</t>
  </si>
  <si>
    <t>Risico aanvaardbaar</t>
  </si>
  <si>
    <t>R &lt; 20</t>
  </si>
  <si>
    <t>INDIVIDUELE &amp; COLLECTIEVE BESCHERMINGS- 
MIDDELEN / CORRECTIEVE ACTIES
BEHEERSMAATREGELEN</t>
  </si>
  <si>
    <t>W</t>
  </si>
  <si>
    <t>B</t>
  </si>
  <si>
    <t>Omschrijving van het risico</t>
  </si>
  <si>
    <t>R</t>
  </si>
  <si>
    <t xml:space="preserve"> </t>
  </si>
  <si>
    <t>Reeds genomen acties</t>
  </si>
  <si>
    <t>te nemen acties</t>
  </si>
  <si>
    <t>In:</t>
  </si>
  <si>
    <t>Defect materieel</t>
  </si>
  <si>
    <t>Bekwaamheid en opleiding van de werknemers</t>
  </si>
  <si>
    <t>Instructies voor de werknemers</t>
  </si>
  <si>
    <t>Instructies eerste zorgen ivm ongeval met elektrische oorsprong</t>
  </si>
  <si>
    <t>Uitwendige invloeden - constructie van het gebouw (gelijkvloers of hoogbouw)</t>
  </si>
  <si>
    <t>Differentieelschakelaar(s) (Aanwezigheid - werking)</t>
  </si>
  <si>
    <t xml:space="preserve">1. Mogelijkheid van elektrische schokken tengevolge van rechtstreekse  aanraking
(vb: actieve geleiders liggen deels bloot)
</t>
  </si>
  <si>
    <t>2. Mogelijkheid van elektrische schokken tengevolge van onrechtstreekse aanraking
(vb: metalen behuizing van apparaat staat onder spanning tgv isolatiefout)</t>
  </si>
  <si>
    <t>3. Ontlading, lichtbogen
(vb: verkeerd schakelen van scheidingsschakelaar)</t>
  </si>
  <si>
    <t>4. Potentiaalspreidingen
(vb: Tgv isolatiefout niet alle geleidende componenten op dezelfde potentiaal staan)</t>
  </si>
  <si>
    <t>5. Ophoping van energie (vb: condensatoren)</t>
  </si>
  <si>
    <t>6. Overspanningen (ten gevolge van: fouten die kunnen ontstaan tussen actieve delen op kringen op verschillende spanning, het schakelen, atmosferische ontladingen)</t>
  </si>
  <si>
    <t>7. Oververhitting, brandwonden, brand en explosie veroorzaakt door de elektrische uitrusting</t>
  </si>
  <si>
    <t>8. Overstromen
(vb: kortsluiting, overbelasting of lekstroom tgv isolatiefout)</t>
  </si>
  <si>
    <t>9. Spanningsvallen en wederopkomen van de spanning
(vb: machine onverwacht terug opstarten na spanningsval)</t>
  </si>
  <si>
    <t>10. Gebruik van elektrische energie en de werkzaamheden aan elektrische installaties (zoals onderhoud, herstellingen, vervangingen van onderdelen, …)</t>
  </si>
  <si>
    <t>11. Niet elektrische risico's te wijten aan slecht functioneren van stuurkringen of- stroombanen
(vb: installatie kan niet meer uitgeschakeld worden door noodstop)</t>
  </si>
  <si>
    <t>Andere factoren die de ernst van de risico's kunnen beïnvloeden (aanwezigheid van andere elektrische of niet elektrische installaties en vreemde geleidende delen)</t>
  </si>
  <si>
    <t>Werken met derden in elektrische ruimte</t>
  </si>
  <si>
    <t>NVT</t>
  </si>
  <si>
    <t>*Controleren of alle geleidende structuren goed geaard zijn
*PBM's dragen 
*Isolerende mat plaatsen</t>
  </si>
  <si>
    <t>*Schakelaars zijn genummerd
*Geïsoleerde meszekering trekker 
*Schakelen door BA4 of BA5 bevoegde personen
*Schakelen na goedkeuring installatieverantwoordelijke</t>
  </si>
  <si>
    <t>*Afschermen van actieve geleiders mogelijk met doorzichtinge kartaplaten
*Noodzakelijke pictogrammen aanbrengen - waarschuwing
*Isolerende mat aanbrengen
*PBM: Vlamvertragende werkkledij (volledig gesloten), veiligheidshelm met gelaatsbescherming, isolerende handschoenen
*Werkprocedure - taakrisicoanalyse opmaken voor het werken in "oude elektrische installaties" door Technische dienst en preventie en milieu</t>
  </si>
  <si>
    <t xml:space="preserve">*Afschermen van actieve geleiders mogelijk met doorzichtinge kartaplaten
*Noodzakelijke pictogrammen aanbrengen - waarschuwing
*Isolerende mat aanbrengen
*PBM: Vlamvertragende werkkledij (volledig gesloten), veiligheidshelm met gelaatsbescherming, isolerende handschoenen
*Herstellen - aanpassen van de opmerkingen, inbreuken van de keuringsverslagen
</t>
  </si>
  <si>
    <t>*Meszekeringen - automaten
*Geïsoleerde meszekering trekker 
*Schakelen door BA4 of BA5 bevoegde personen
*Schakelen na goedkeuring installatieverantwoordelijke</t>
  </si>
  <si>
    <t xml:space="preserve">*Plandrager voorzien in elke ruimte en bord. Ophangen op veilige plaats.
*Schema's controleren en as-built maken
*Beheer elektrische schema's door installatieverantwoordelijke
*1 plan up to date in bord - ruimte, 1 plan op bureau
</t>
  </si>
  <si>
    <t xml:space="preserve">*Verouderde en slecht leesbare instructies vervangen door nieuwe. 
*Goed zichtbaar hangen </t>
  </si>
  <si>
    <t>zeer ernstig (1 dode of zeer ernstig letsel of schade &gt;25.000€)</t>
  </si>
  <si>
    <t>Uitwendige invloeden - invloed van het milieu zoals temperatuursomstandigheden, aanwezigheid van water, aanwezigheid bijtende producten, ongedierte,…)</t>
  </si>
  <si>
    <t>*Plaatsen van branddeur als toegangsdeur bij elke elektrische ruimte.
*Afdichten van alle doorgangen tegen ongedierte
*Branddichte doorgangen</t>
  </si>
  <si>
    <t>Stroomba(a)n(en) niet beschermd door beschermingsinrichting tegen overbelasting en kortsluiting</t>
  </si>
  <si>
    <t>*Elektrische schema's aanwezig.
*Installatieverantwoordelijke beheert de elektrische schema's.
*Alle wijzigingen, aanpassingen, uitbreidingen moeten doorgegeven worden aan de installatieverantwoordelijke.
*Sommige schema's zijn slecht leesbaar door ouderdom en/of vuil</t>
  </si>
  <si>
    <t>*Matrix opmaken - welke werken mogen uitgevoerd worden door BA4-BA5 bevoegde personen
*BA4-BA5 Attesten opmaken per werknemer 
*Specifieke opleiding - bevoegdheidsverklaring opmaken voor controle brandblussers, branddetectie in elektrische ruimten</t>
  </si>
  <si>
    <t>Elektrisch Bord - Elektrische ruimte</t>
  </si>
  <si>
    <t xml:space="preserve">Specifieke installatie gebonden gevaren en risico's </t>
  </si>
  <si>
    <t>RISICO AANVAARDBAAR</t>
  </si>
  <si>
    <t>AANDACHT VEREIST</t>
  </si>
  <si>
    <t>BELANGRIJK RISICO: MAATREGELEN VEREIST</t>
  </si>
  <si>
    <t>HOOG RISICO: WERKZAAMHEDEN STILLEGGEN</t>
  </si>
  <si>
    <t>*Controleren of er machines - toestellen zijn die een gevaar opleveren bij onverwacht terug opstarten na spanningsval.
*Indien noodzakelijk voor deze machines laagspanningsbeveiliging plaatsen</t>
  </si>
  <si>
    <t xml:space="preserve">*Label bij de hoofdschakelaar "Bij uitgeschakelde hoofdschakelaar blijven bepaalde delen van de installatie onder spanning"
*Labeling op componenten die steeds onder spanning staan
*Aanduiding in de elektrische schema's
*Afschermen met doorzichtige kartaplaat
</t>
  </si>
  <si>
    <t xml:space="preserve">Electrocutie
Elektrisering
Brandwonden
Kortsluiting - vlambogen
Technische storingen - materiële schade
</t>
  </si>
  <si>
    <t xml:space="preserve">Zie hieronder specifiek per risico.
</t>
  </si>
  <si>
    <t>*Periodieke controle - jaarlijks - door EDTC
*Zekeringen</t>
  </si>
  <si>
    <t xml:space="preserve">
*Schakelen door BA4 of BA5 bevoegde personen
*Schakelen na goedkeuring installatieverantwoordelijke</t>
  </si>
  <si>
    <t>*Periodieke controle - jaarlijks - door EDTC
*Werken door opgeleide en bevoegde BA4 - BA5 personen.</t>
  </si>
  <si>
    <t>*Geldig keuringsverslag van elektrische installatie.
*Laagspanningsinstallatie  jaarlijks laten keuren.
*Opmerkingen - inbreuken in orde brengen + laten herkeuren door EDTC.
*Keuringsverslagen worden beheerd door de installatieverantwoordelijke.</t>
  </si>
  <si>
    <t xml:space="preserve">*De meeste componenten zijn gelabeld
</t>
  </si>
  <si>
    <t>*Labelen van de componenten volgens schema</t>
  </si>
  <si>
    <t xml:space="preserve">*Keuringsverslagen opvragen + controleren  </t>
  </si>
  <si>
    <t>*Beveiligingen steeds vervangen door gelijkwaardige beveiligingen met de juiste karakteristieken</t>
  </si>
  <si>
    <t>*Aarding controleren</t>
  </si>
  <si>
    <t>*PBM: Vlamvertragende werkkledij (volledig gesloten), veiligheidshelm met gelaatsbescherming, isolerende handschoenen</t>
  </si>
  <si>
    <t xml:space="preserve">*Dragen van de noodzakelijke PBM's: Vlamvertragende werkkledij (broek + vest met lange mouwen - gesloten), Isolerende handschoenen aangepast aan spanningsniveau, gelaatsbescherming, veiligheidsschoenen, isolerende mat ifv het risico
</t>
  </si>
  <si>
    <t xml:space="preserve">                                                                  *Afgesloten - enkel toegankelijk voor BA4-BA5 bevoegde personen.                                                                                                                                  * Componenten in borden steeds IP2X</t>
  </si>
  <si>
    <t>* Aarden van de metalen structuren</t>
  </si>
  <si>
    <t>* STOP</t>
  </si>
  <si>
    <t>*De meeste elektrische verdeelborden staan in een "elektrische ruimte" of "technische ruimte"
*Elektrische ruimte is alleen toegankelijk voor BA4-BA5 bevoegde personen
*Verdeelborden staan verdeeld in het center (gang, eenheden, ...) steeds afgesloten met sleutel
*Sleutelbeheer - toegang tot elektrische ruimte of borden door installatieverantwoordelijke 
*Bord steeds afsluiten met sleutel - vastdraaien
*Pictogram aanwezig op toegangsdeur elektrische ruimte of bord "opgepast spanning aanwezig"</t>
  </si>
  <si>
    <t xml:space="preserve">
*Controleren of alle doorvoeringen branddicht zijn
*Periodieke controle branddetectie
*Plaatsen van CO2 blussers in elektrische ruimte - periodiek keuren</t>
  </si>
  <si>
    <t>*Compartimentering
*Branddichte doorvoeringen
*Plaatsen van branddeur als toegangsdeur</t>
  </si>
  <si>
    <r>
      <t xml:space="preserve">*Afschermen van actieve geleiders mogelijk met doorzichtinge kartaplaten
*Noodzakelijke pictogrammen aanbrengen - waarschuwing
*PBM: Vlamvertragende werkkledij (volledig gesloten), veiligheidshelm met gelaatsbescherming, isolerende handschoenen
*Herstellen - aanpassen van de opmerkingen, inbreuken van de keuringsverslagen
</t>
    </r>
    <r>
      <rPr>
        <sz val="10"/>
        <color indexed="10"/>
        <rFont val="Arial"/>
        <family val="2"/>
      </rPr>
      <t/>
    </r>
  </si>
  <si>
    <t xml:space="preserve">Periodieke controle -  jaarlijks - door EDTC
*Periodiek thermografisch onderzoek
</t>
  </si>
  <si>
    <t>*Periodieke controle -  jaarlijks - door EDTC
*Periodiek thermografisch onderzoek
*Periodiek onderhoud - herstelling door BA4-BA5 bevoegde personen
*Gebruik van geïsoleerd gereedschap - tools</t>
  </si>
  <si>
    <t xml:space="preserve">
*Schakelen door BA4 of BA5 bevoegde personen
*Schakelen na goedkeuring installatieverantwoordelijke
*Werkvoorbereiding - Vitale 7 - Vrijgave voor werken - Teruggave voor onder spanning brengen</t>
  </si>
  <si>
    <t>Uitwendige invloeden - aard van het gebruik zoals  toestand van de huid van de gebruiker (droge, natte, in water ondergedompelde huid), aard van de opgeslagen goederen (verhoogd brandgevaar of explosiegevaar)…</t>
  </si>
  <si>
    <t xml:space="preserve">*Noodzakelijke pictogrammen aanbrengen - waarschuwing elektrisch gevaar, verboden toegang voor onbevoegden op ALLE deuren die toegang hebben tot elektrische ruimten of borden.
</t>
  </si>
  <si>
    <t>*Periodieke controle - jaarlijks - door EDTC
aarden van metalen structuren</t>
  </si>
  <si>
    <t>*Beperkte uitwendige invloeden aanwezig
*Alle doorgangen goed afdichten - branddicht
IP klasse conform de aanwezigheid van water en stof</t>
  </si>
  <si>
    <t>*Geen materialen - materieel opslagen in elektrische ruimte.
*Ook geen zekeringen of ander elektrisch materiaal - materieel
niet gebruikte componenten en borden verwijderen</t>
  </si>
  <si>
    <t xml:space="preserve">
*Bord steeds afsluiten met sleutel - vastdraaien
*Elektrisch bord alleen toegankelijk voor BA4-BA5 bevoegd personeel
*Sleutelbeheer
*Pictogram aanwezig op deur bord "opgepast spanning aanwezig"
*Degelijke werkvoorbereiding
*Taakrisico analyse maken voor risicoactiviteiten
*Geschikt materiaal, materieel gebruiken
*Werkvoorbereiding - Vitale 7 - Vrijgave voor werken - Teruggave voor onder spanning brengen</t>
  </si>
  <si>
    <t>*Alleen derden met een BA4-BA5 bevoegdheid mogen elektrische ruimte betreden en werken uitvoeren mits goedkeuring van de installatieverantwoordelijke van het center
*Degelijke werkvoorbereiding en overleg tussen de werkverantwoordelijke van de "derden" en de installatieverantwoordelijke van center
*Derden informeren over de specifieke risico's van de "oude elektrische installaties" + de verplichte instructies PBM's
*In- en uitschakelen (veilig stellen van de installatie) gebeurt uitsluitend door de installatieverantwoordelijke  of onder zijn bevoegdheid
*Niet elektrische werken uitvoeren in elektrische ruimte door een BA1 gebeurt alleen onder leiding van een vakbekwaam persoon BA5 
*Derden informeren over de procedures en taakrisicoanalyse voor het werken in "oude elektrische installaties".</t>
  </si>
  <si>
    <t>*Aanwezigheid van label met bordnummer en specifieke kenmerken elektrische installatie.</t>
  </si>
  <si>
    <t>*Identificatie op ALLE toegangsdeuren van elektrische ruimte of borden aanbrengen - nettype - spanningsniveau</t>
  </si>
  <si>
    <t>*Afschermen van actieve geleiders mogelijk met doorzichtinge kartaplaten
*Noodzakelijke pictogrammen aanbrengen - waarschuwing
*Isolerende mat aanbrengen
*PBM: Vlamvertragende werkkledij (volledig gesloten), veiligheidshelm met gelaatsbescherming, isolerende handschoenen
*Plaatsen van differentieelautomaten</t>
  </si>
  <si>
    <t>*Afschermen van actieve geleiders mogelijk met doorzichtinge kartaplaten
*Noodzakelijke pictogrammen aanbrengen - waarschuwing
*Isolerende mat plaatsen
*PBM: Vlamvertragende werkkledij (volledig gesloten), veiligheidshelm met gelaatsbescherming, isolerende handschoenen
*Plaatsen van aangepaste automaten</t>
  </si>
  <si>
    <t>*Afschermen van actieve geleiders mogelijk met doorzichtige kartaplaten
*Noodzakelijke pictogrammen aanbrengen - waarschuwing
*Isolerende mat plaatsen - in gang voor genaakbare delen bij werkzaamheden
*PBM: Vlamvertragende werkkledij (volledig gesloten), veiligheidshelm met gelaatsbescherming, isolerende handschoenen aangepast aan spanningsniveau
*Vervangen/afschermen van componenten 
*Werkvergunning
*Loto procedure ( vitale 7 )</t>
  </si>
  <si>
    <r>
      <rPr>
        <b/>
        <sz val="12"/>
        <rFont val="Arial"/>
        <family val="2"/>
      </rPr>
      <t>*STOP</t>
    </r>
    <r>
      <rPr>
        <sz val="10"/>
        <rFont val="Arial"/>
        <family val="2"/>
      </rPr>
      <t xml:space="preserve">
*Andere installaties goed afsluiten
*Deuren van andere elektrische borden steeds gesloten houden</t>
    </r>
  </si>
  <si>
    <r>
      <rPr>
        <b/>
        <sz val="12"/>
        <rFont val="Arial"/>
        <family val="2"/>
      </rPr>
      <t>* STOP</t>
    </r>
    <r>
      <rPr>
        <sz val="10"/>
        <rFont val="Arial"/>
        <family val="2"/>
      </rPr>
      <t xml:space="preserve">
*Praktische en/of schoolse opleiding, ervaring
*Selectieprocedure 
*Opleiding BA4-BA5 voor techniekers 
</t>
    </r>
  </si>
  <si>
    <r>
      <rPr>
        <b/>
        <sz val="12"/>
        <rFont val="Arial"/>
        <family val="2"/>
      </rPr>
      <t>* STOP</t>
    </r>
    <r>
      <rPr>
        <sz val="10"/>
        <rFont val="Arial"/>
        <family val="2"/>
      </rPr>
      <t xml:space="preserve">
*EHBO instructies aanwezig
*Opleiding BA4-BA5 voor techniekers
</t>
    </r>
  </si>
  <si>
    <t>*Specifieke RA en werkmethode opmaken voor het uitvoeren van werkzaamheden in "oude elektrische installaties"
*Noodzakelijke pictogrammen op toegangsdeuren
*Verplicht dragen van de noodzakelijke PBM's</t>
  </si>
  <si>
    <t xml:space="preserve"> *Periodieke controle van differentieelinrichtingen</t>
  </si>
  <si>
    <t>*Controle werking</t>
  </si>
  <si>
    <t>*Elektrische ruimte steeds afsluiten met slot.
*NOOIT onbeheerd achter of open laten staan.  
*Elektrische ruimte mag alleen betreden worden door BA4 of BA5 bevoegde personen
*House keeping
*Geen accumulatie van poeders</t>
  </si>
  <si>
    <t>*Geen materialen - materieel opslagen in elektrische ruimte.
*Ook geen zekeringen of ander elektrisch materiaal - materieel
*Pictogrammen aanbrengen op toegangsdeur - waarschuwing elektrisch gevaar en geen toegang voor onbevoegden.
*Installatie van differentieelautomaten</t>
  </si>
  <si>
    <t>3*400V/3*230V</t>
  </si>
  <si>
    <t>TNS</t>
  </si>
  <si>
    <t>Globaal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</si>
</sst>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  <font>
      <b/>
      <sz val="16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vertical="center"/>
    </xf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2" borderId="4" xfId="0" applyFill="1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1" fillId="4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2" fillId="0" borderId="1" xfId="0" applyFont="1" applyBorder="1" applyAlignment="1" applyProtection="1">
      <alignment vertical="center" wrapText="1"/>
      <protection locked="0"/>
    </xf>
    <xf numFmtId="0" fontId="7" fillId="0" borderId="1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1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zoomScale="70" zoomScaleNormal="70" workbookViewId="0">
      <selection activeCell="A23" sqref="A23"/>
    </sheetView>
  </sheetViews>
  <sheetFormatPr defaultRowHeight="12.75" x14ac:dyDescent="0.2"/>
  <cols>
    <col min="1" max="1" width="63.85546875" customWidth="1"/>
    <col min="2" max="2" width="13.28515625" customWidth="1"/>
  </cols>
  <sheetData>
    <row r="1" spans="1:2" ht="30.75" customHeight="1" x14ac:dyDescent="0.25">
      <c r="A1" s="41" t="s">
        <v>21</v>
      </c>
      <c r="B1" s="42"/>
    </row>
    <row r="2" spans="1:2" ht="30.75" customHeight="1" x14ac:dyDescent="0.2">
      <c r="A2" s="6" t="s">
        <v>22</v>
      </c>
      <c r="B2" s="2"/>
    </row>
    <row r="3" spans="1:2" x14ac:dyDescent="0.2">
      <c r="A3" s="2"/>
      <c r="B3" s="1"/>
    </row>
    <row r="4" spans="1:2" ht="24" customHeight="1" x14ac:dyDescent="0.2">
      <c r="A4" s="7" t="s">
        <v>23</v>
      </c>
      <c r="B4" s="7" t="s">
        <v>24</v>
      </c>
    </row>
    <row r="5" spans="1:2" ht="20.25" customHeight="1" x14ac:dyDescent="0.2">
      <c r="A5" s="1" t="s">
        <v>25</v>
      </c>
      <c r="B5" s="1">
        <v>10</v>
      </c>
    </row>
    <row r="6" spans="1:2" ht="20.25" customHeight="1" x14ac:dyDescent="0.2">
      <c r="A6" s="1" t="s">
        <v>26</v>
      </c>
      <c r="B6" s="1">
        <v>6</v>
      </c>
    </row>
    <row r="7" spans="1:2" ht="20.25" customHeight="1" x14ac:dyDescent="0.2">
      <c r="A7" s="1" t="s">
        <v>27</v>
      </c>
      <c r="B7" s="1">
        <v>3</v>
      </c>
    </row>
    <row r="8" spans="1:2" ht="20.25" customHeight="1" x14ac:dyDescent="0.2">
      <c r="A8" s="1" t="s">
        <v>28</v>
      </c>
      <c r="B8" s="1">
        <v>1</v>
      </c>
    </row>
    <row r="9" spans="1:2" ht="20.25" customHeight="1" x14ac:dyDescent="0.2">
      <c r="A9" s="1" t="s">
        <v>29</v>
      </c>
      <c r="B9" s="1">
        <v>0.5</v>
      </c>
    </row>
    <row r="10" spans="1:2" ht="20.25" customHeight="1" x14ac:dyDescent="0.2">
      <c r="A10" s="1" t="s">
        <v>30</v>
      </c>
      <c r="B10" s="1">
        <v>0.2</v>
      </c>
    </row>
    <row r="11" spans="1:2" ht="20.25" customHeight="1" x14ac:dyDescent="0.2">
      <c r="A11" s="4" t="s">
        <v>31</v>
      </c>
      <c r="B11" s="7" t="s">
        <v>24</v>
      </c>
    </row>
    <row r="12" spans="1:2" ht="20.25" customHeight="1" x14ac:dyDescent="0.2">
      <c r="A12" s="1" t="s">
        <v>32</v>
      </c>
      <c r="B12" s="1">
        <v>10</v>
      </c>
    </row>
    <row r="13" spans="1:2" ht="20.25" customHeight="1" x14ac:dyDescent="0.2">
      <c r="A13" s="1" t="s">
        <v>33</v>
      </c>
      <c r="B13" s="1">
        <v>6</v>
      </c>
    </row>
    <row r="14" spans="1:2" ht="20.25" customHeight="1" x14ac:dyDescent="0.2">
      <c r="A14" s="1" t="s">
        <v>34</v>
      </c>
      <c r="B14" s="1">
        <v>3</v>
      </c>
    </row>
    <row r="15" spans="1:2" ht="20.25" customHeight="1" x14ac:dyDescent="0.2">
      <c r="A15" s="1" t="s">
        <v>35</v>
      </c>
      <c r="B15" s="1">
        <v>2</v>
      </c>
    </row>
    <row r="16" spans="1:2" ht="20.25" customHeight="1" x14ac:dyDescent="0.2">
      <c r="A16" s="1" t="s">
        <v>36</v>
      </c>
      <c r="B16" s="1">
        <v>1</v>
      </c>
    </row>
    <row r="17" spans="1:2" ht="20.25" customHeight="1" x14ac:dyDescent="0.2">
      <c r="A17" s="1" t="s">
        <v>37</v>
      </c>
      <c r="B17" s="1">
        <v>0.5</v>
      </c>
    </row>
    <row r="18" spans="1:2" ht="20.25" customHeight="1" x14ac:dyDescent="0.2">
      <c r="A18" s="4" t="s">
        <v>17</v>
      </c>
      <c r="B18" s="7" t="s">
        <v>24</v>
      </c>
    </row>
    <row r="19" spans="1:2" ht="20.25" customHeight="1" x14ac:dyDescent="0.2">
      <c r="A19" s="1" t="s">
        <v>38</v>
      </c>
      <c r="B19" s="1">
        <v>100</v>
      </c>
    </row>
    <row r="20" spans="1:2" ht="20.25" customHeight="1" x14ac:dyDescent="0.2">
      <c r="A20" s="1" t="s">
        <v>18</v>
      </c>
      <c r="B20" s="1">
        <v>40</v>
      </c>
    </row>
    <row r="21" spans="1:2" ht="20.25" customHeight="1" x14ac:dyDescent="0.2">
      <c r="A21" s="1" t="s">
        <v>88</v>
      </c>
      <c r="B21" s="1">
        <v>15</v>
      </c>
    </row>
    <row r="22" spans="1:2" ht="20.25" customHeight="1" x14ac:dyDescent="0.2">
      <c r="A22" s="1" t="s">
        <v>39</v>
      </c>
      <c r="B22" s="1">
        <v>7</v>
      </c>
    </row>
    <row r="23" spans="1:2" ht="20.25" customHeight="1" x14ac:dyDescent="0.2">
      <c r="A23" s="1" t="s">
        <v>40</v>
      </c>
      <c r="B23" s="1">
        <v>3</v>
      </c>
    </row>
    <row r="24" spans="1:2" ht="20.25" customHeight="1" x14ac:dyDescent="0.2">
      <c r="A24" s="1" t="s">
        <v>41</v>
      </c>
      <c r="B24" s="1">
        <v>1</v>
      </c>
    </row>
    <row r="25" spans="1:2" ht="38.25" customHeight="1" x14ac:dyDescent="0.2">
      <c r="A25" s="8" t="s">
        <v>19</v>
      </c>
      <c r="B25" s="4"/>
    </row>
    <row r="26" spans="1:2" ht="20.25" customHeight="1" x14ac:dyDescent="0.2">
      <c r="A26" s="1" t="s">
        <v>42</v>
      </c>
      <c r="B26" s="27" t="s">
        <v>43</v>
      </c>
    </row>
    <row r="27" spans="1:2" ht="20.25" customHeight="1" x14ac:dyDescent="0.2">
      <c r="A27" s="1" t="s">
        <v>44</v>
      </c>
      <c r="B27" s="27" t="s">
        <v>45</v>
      </c>
    </row>
    <row r="28" spans="1:2" ht="20.25" customHeight="1" x14ac:dyDescent="0.2">
      <c r="A28" s="1" t="s">
        <v>46</v>
      </c>
      <c r="B28" s="26" t="s">
        <v>47</v>
      </c>
    </row>
    <row r="29" spans="1:2" ht="20.25" customHeight="1" x14ac:dyDescent="0.2">
      <c r="A29" s="1" t="s">
        <v>49</v>
      </c>
      <c r="B29" s="25" t="s">
        <v>48</v>
      </c>
    </row>
    <row r="30" spans="1:2" ht="20.25" customHeight="1" x14ac:dyDescent="0.2">
      <c r="A30" s="1" t="s">
        <v>50</v>
      </c>
      <c r="B30" s="24" t="s">
        <v>51</v>
      </c>
    </row>
  </sheetData>
  <mergeCells count="1">
    <mergeCell ref="A1:B1"/>
  </mergeCells>
  <phoneticPr fontId="0" type="noConversion"/>
  <pageMargins left="0.75" right="0.75" top="1" bottom="1" header="0.5" footer="0.5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zoomScale="80" zoomScaleNormal="80" workbookViewId="0">
      <selection activeCell="B7" sqref="B7:E7"/>
    </sheetView>
  </sheetViews>
  <sheetFormatPr defaultRowHeight="12.75" x14ac:dyDescent="0.2"/>
  <cols>
    <col min="1" max="1" width="27.28515625" customWidth="1"/>
    <col min="2" max="3" width="5.7109375" customWidth="1"/>
    <col min="4" max="4" width="5.85546875" customWidth="1"/>
    <col min="5" max="5" width="7.5703125" customWidth="1"/>
    <col min="6" max="6" width="38.28515625" style="5" customWidth="1"/>
    <col min="7" max="7" width="70.5703125" style="5" bestFit="1" customWidth="1"/>
  </cols>
  <sheetData>
    <row r="1" spans="1:11" x14ac:dyDescent="0.2">
      <c r="A1" s="31" t="s">
        <v>2</v>
      </c>
      <c r="B1" s="44"/>
      <c r="C1" s="44"/>
      <c r="D1" s="44"/>
      <c r="E1" s="44"/>
      <c r="F1" s="35"/>
      <c r="G1" s="15" t="s">
        <v>96</v>
      </c>
    </row>
    <row r="2" spans="1:11" x14ac:dyDescent="0.2">
      <c r="A2" s="31" t="s">
        <v>3</v>
      </c>
      <c r="B2" s="43"/>
      <c r="C2" s="43"/>
      <c r="D2" s="43"/>
      <c r="E2" s="43"/>
      <c r="F2" s="36"/>
      <c r="G2" s="15" t="s">
        <v>97</v>
      </c>
    </row>
    <row r="3" spans="1:11" x14ac:dyDescent="0.2">
      <c r="A3" s="31" t="s">
        <v>4</v>
      </c>
      <c r="B3" s="45" t="s">
        <v>145</v>
      </c>
      <c r="C3" s="43"/>
      <c r="D3" s="43"/>
      <c r="E3" s="43"/>
      <c r="F3" s="38"/>
      <c r="G3" s="15" t="s">
        <v>98</v>
      </c>
    </row>
    <row r="4" spans="1:11" x14ac:dyDescent="0.2">
      <c r="A4" s="31" t="s">
        <v>5</v>
      </c>
      <c r="B4" s="45" t="s">
        <v>146</v>
      </c>
      <c r="C4" s="43"/>
      <c r="D4" s="43"/>
      <c r="E4" s="43"/>
      <c r="F4" s="37"/>
      <c r="G4" s="15" t="s">
        <v>99</v>
      </c>
    </row>
    <row r="5" spans="1:11" x14ac:dyDescent="0.2">
      <c r="A5" s="31" t="s">
        <v>60</v>
      </c>
      <c r="B5" s="43"/>
      <c r="C5" s="43"/>
      <c r="D5" s="43"/>
      <c r="E5" s="43"/>
    </row>
    <row r="6" spans="1:11" x14ac:dyDescent="0.2">
      <c r="A6" s="31" t="s">
        <v>6</v>
      </c>
      <c r="B6" s="43"/>
      <c r="C6" s="43"/>
      <c r="D6" s="43"/>
      <c r="E6" s="43"/>
    </row>
    <row r="7" spans="1:11" x14ac:dyDescent="0.2">
      <c r="A7" s="31" t="s">
        <v>8</v>
      </c>
      <c r="B7" s="45" t="s">
        <v>147</v>
      </c>
      <c r="C7" s="43"/>
      <c r="D7" s="43"/>
      <c r="E7" s="43"/>
    </row>
    <row r="8" spans="1:11" x14ac:dyDescent="0.2">
      <c r="A8" s="31" t="s">
        <v>1</v>
      </c>
      <c r="B8" s="43"/>
      <c r="C8" s="43"/>
      <c r="D8" s="43"/>
      <c r="E8" s="43"/>
    </row>
    <row r="9" spans="1:11" ht="38.25" x14ac:dyDescent="0.2">
      <c r="A9" s="30" t="s">
        <v>7</v>
      </c>
      <c r="B9" s="55" t="s">
        <v>9</v>
      </c>
      <c r="C9" s="56"/>
      <c r="D9" s="56"/>
      <c r="E9" s="56"/>
      <c r="F9" s="28" t="s">
        <v>10</v>
      </c>
      <c r="G9" s="16" t="s">
        <v>52</v>
      </c>
      <c r="H9" s="46" t="s">
        <v>57</v>
      </c>
      <c r="I9" s="47"/>
      <c r="J9" s="47"/>
      <c r="K9" s="48"/>
    </row>
    <row r="10" spans="1:11" ht="91.5" customHeight="1" x14ac:dyDescent="0.2">
      <c r="A10" s="11" t="s">
        <v>94</v>
      </c>
      <c r="B10" s="57" t="s">
        <v>11</v>
      </c>
      <c r="C10" s="58"/>
      <c r="D10" s="58"/>
      <c r="E10" s="58"/>
      <c r="F10" s="29" t="s">
        <v>102</v>
      </c>
      <c r="G10" s="23" t="s">
        <v>103</v>
      </c>
      <c r="H10" s="49"/>
      <c r="I10" s="50"/>
      <c r="J10" s="50"/>
      <c r="K10" s="51"/>
    </row>
    <row r="11" spans="1:11" x14ac:dyDescent="0.2">
      <c r="A11" s="3" t="s">
        <v>55</v>
      </c>
      <c r="B11" s="4" t="s">
        <v>53</v>
      </c>
      <c r="C11" s="4" t="s">
        <v>54</v>
      </c>
      <c r="D11" s="4" t="s">
        <v>20</v>
      </c>
      <c r="E11" s="4" t="s">
        <v>56</v>
      </c>
      <c r="F11" s="17" t="s">
        <v>58</v>
      </c>
      <c r="G11" s="17" t="s">
        <v>59</v>
      </c>
      <c r="H11" s="4" t="s">
        <v>53</v>
      </c>
      <c r="I11" s="4" t="s">
        <v>54</v>
      </c>
      <c r="J11" s="4" t="s">
        <v>20</v>
      </c>
      <c r="K11" s="4" t="s">
        <v>56</v>
      </c>
    </row>
    <row r="12" spans="1:11" ht="115.5" customHeight="1" x14ac:dyDescent="0.2">
      <c r="A12" s="13" t="s">
        <v>67</v>
      </c>
      <c r="B12" s="12">
        <v>10</v>
      </c>
      <c r="C12" s="12">
        <v>2</v>
      </c>
      <c r="D12" s="12">
        <v>15</v>
      </c>
      <c r="E12" s="12">
        <f t="shared" ref="E12:E22" si="0">B12*C12*D12</f>
        <v>300</v>
      </c>
      <c r="F12" s="39" t="s">
        <v>115</v>
      </c>
      <c r="G12" s="21" t="s">
        <v>136</v>
      </c>
      <c r="H12" s="12">
        <v>1</v>
      </c>
      <c r="I12" s="12">
        <v>2</v>
      </c>
      <c r="J12" s="12">
        <v>15</v>
      </c>
      <c r="K12" s="12">
        <f t="shared" ref="K12:K22" si="1">H12*I12*J12</f>
        <v>30</v>
      </c>
    </row>
    <row r="13" spans="1:11" ht="84.75" customHeight="1" x14ac:dyDescent="0.2">
      <c r="A13" s="13" t="s">
        <v>68</v>
      </c>
      <c r="B13" s="12">
        <v>6</v>
      </c>
      <c r="C13" s="12">
        <v>2</v>
      </c>
      <c r="D13" s="12">
        <v>15</v>
      </c>
      <c r="E13" s="12">
        <f>B13*C13*D13</f>
        <v>180</v>
      </c>
      <c r="F13" s="33" t="s">
        <v>116</v>
      </c>
      <c r="G13" s="9" t="s">
        <v>81</v>
      </c>
      <c r="H13" s="12">
        <v>1</v>
      </c>
      <c r="I13" s="12">
        <v>2</v>
      </c>
      <c r="J13" s="12">
        <v>15</v>
      </c>
      <c r="K13" s="12">
        <f t="shared" si="1"/>
        <v>30</v>
      </c>
    </row>
    <row r="14" spans="1:11" ht="90" customHeight="1" x14ac:dyDescent="0.2">
      <c r="A14" s="13" t="s">
        <v>69</v>
      </c>
      <c r="B14" s="12">
        <v>6</v>
      </c>
      <c r="C14" s="12">
        <v>2</v>
      </c>
      <c r="D14" s="12">
        <v>7</v>
      </c>
      <c r="E14" s="12">
        <f>B14*C14*D14</f>
        <v>84</v>
      </c>
      <c r="F14" s="14" t="s">
        <v>82</v>
      </c>
      <c r="G14" s="23" t="s">
        <v>113</v>
      </c>
      <c r="H14" s="12">
        <v>0.5</v>
      </c>
      <c r="I14" s="12">
        <v>2</v>
      </c>
      <c r="J14" s="12">
        <v>7</v>
      </c>
      <c r="K14" s="12">
        <f t="shared" si="1"/>
        <v>7</v>
      </c>
    </row>
    <row r="15" spans="1:11" ht="61.5" customHeight="1" x14ac:dyDescent="0.2">
      <c r="A15" s="13" t="s">
        <v>70</v>
      </c>
      <c r="B15" s="12">
        <v>1</v>
      </c>
      <c r="C15" s="12">
        <v>6</v>
      </c>
      <c r="D15" s="12">
        <v>15</v>
      </c>
      <c r="E15" s="12">
        <f t="shared" si="0"/>
        <v>90</v>
      </c>
      <c r="F15" s="33" t="s">
        <v>127</v>
      </c>
      <c r="G15" s="23" t="s">
        <v>112</v>
      </c>
      <c r="H15" s="12">
        <v>0.5</v>
      </c>
      <c r="I15" s="12">
        <v>6</v>
      </c>
      <c r="J15" s="12">
        <v>15</v>
      </c>
      <c r="K15" s="12">
        <f t="shared" si="1"/>
        <v>45</v>
      </c>
    </row>
    <row r="16" spans="1:11" ht="35.25" customHeight="1" x14ac:dyDescent="0.2">
      <c r="A16" s="13" t="s">
        <v>71</v>
      </c>
      <c r="B16" s="12">
        <v>0</v>
      </c>
      <c r="C16" s="12">
        <v>0</v>
      </c>
      <c r="D16" s="12">
        <v>0</v>
      </c>
      <c r="E16" s="12">
        <f>B16*C16*D16</f>
        <v>0</v>
      </c>
      <c r="F16" s="14" t="s">
        <v>80</v>
      </c>
      <c r="G16" s="9" t="s">
        <v>57</v>
      </c>
      <c r="H16" s="12">
        <v>0</v>
      </c>
      <c r="I16" s="12">
        <v>0</v>
      </c>
      <c r="J16" s="12">
        <v>0</v>
      </c>
      <c r="K16" s="12">
        <f t="shared" si="1"/>
        <v>0</v>
      </c>
    </row>
    <row r="17" spans="1:11" ht="99.75" customHeight="1" x14ac:dyDescent="0.2">
      <c r="A17" s="13" t="s">
        <v>72</v>
      </c>
      <c r="B17" s="12">
        <v>3</v>
      </c>
      <c r="C17" s="12">
        <v>3</v>
      </c>
      <c r="D17" s="12">
        <v>15</v>
      </c>
      <c r="E17" s="12">
        <f>B17*C17*D17</f>
        <v>135</v>
      </c>
      <c r="F17" s="14" t="s">
        <v>105</v>
      </c>
      <c r="G17" s="21" t="s">
        <v>135</v>
      </c>
      <c r="H17" s="12">
        <v>1</v>
      </c>
      <c r="I17" s="12">
        <v>3</v>
      </c>
      <c r="J17" s="12">
        <v>15</v>
      </c>
      <c r="K17" s="12">
        <f t="shared" si="1"/>
        <v>45</v>
      </c>
    </row>
    <row r="18" spans="1:11" ht="131.25" customHeight="1" x14ac:dyDescent="0.2">
      <c r="A18" s="13" t="s">
        <v>73</v>
      </c>
      <c r="B18" s="12">
        <v>3</v>
      </c>
      <c r="C18" s="12">
        <v>3</v>
      </c>
      <c r="D18" s="12">
        <v>15</v>
      </c>
      <c r="E18" s="12">
        <f>B18*C18*D18</f>
        <v>135</v>
      </c>
      <c r="F18" s="14" t="s">
        <v>122</v>
      </c>
      <c r="G18" s="21" t="s">
        <v>121</v>
      </c>
      <c r="H18" s="12">
        <v>1</v>
      </c>
      <c r="I18" s="12">
        <v>3</v>
      </c>
      <c r="J18" s="12">
        <v>15</v>
      </c>
      <c r="K18" s="12">
        <f>H18*I18*J18</f>
        <v>45</v>
      </c>
    </row>
    <row r="19" spans="1:11" ht="92.25" customHeight="1" x14ac:dyDescent="0.2">
      <c r="A19" s="13" t="s">
        <v>74</v>
      </c>
      <c r="B19" s="12">
        <v>3</v>
      </c>
      <c r="C19" s="12">
        <v>3</v>
      </c>
      <c r="D19" s="12">
        <v>15</v>
      </c>
      <c r="E19" s="12">
        <f t="shared" si="0"/>
        <v>135</v>
      </c>
      <c r="F19" s="19" t="s">
        <v>104</v>
      </c>
      <c r="G19" s="21" t="s">
        <v>134</v>
      </c>
      <c r="H19" s="12">
        <v>1</v>
      </c>
      <c r="I19" s="12">
        <v>3</v>
      </c>
      <c r="J19" s="12">
        <v>15</v>
      </c>
      <c r="K19" s="12">
        <f t="shared" si="1"/>
        <v>45</v>
      </c>
    </row>
    <row r="20" spans="1:11" ht="93" customHeight="1" x14ac:dyDescent="0.2">
      <c r="A20" s="13" t="s">
        <v>75</v>
      </c>
      <c r="B20" s="12">
        <v>3</v>
      </c>
      <c r="C20" s="12">
        <v>3</v>
      </c>
      <c r="D20" s="12">
        <v>7</v>
      </c>
      <c r="E20" s="12">
        <f>B20*C20*D20</f>
        <v>63</v>
      </c>
      <c r="F20" s="14"/>
      <c r="G20" s="23" t="s">
        <v>100</v>
      </c>
      <c r="H20" s="12">
        <v>0.5</v>
      </c>
      <c r="I20" s="12">
        <v>3</v>
      </c>
      <c r="J20" s="12">
        <v>7</v>
      </c>
      <c r="K20" s="12">
        <f t="shared" si="1"/>
        <v>10.5</v>
      </c>
    </row>
    <row r="21" spans="1:11" ht="117" customHeight="1" x14ac:dyDescent="0.2">
      <c r="A21" s="13" t="s">
        <v>76</v>
      </c>
      <c r="B21" s="12">
        <v>6</v>
      </c>
      <c r="C21" s="12">
        <v>3</v>
      </c>
      <c r="D21" s="12">
        <v>15</v>
      </c>
      <c r="E21" s="12">
        <f t="shared" si="0"/>
        <v>270</v>
      </c>
      <c r="F21" s="33" t="s">
        <v>124</v>
      </c>
      <c r="G21" s="21" t="s">
        <v>83</v>
      </c>
      <c r="H21" s="12">
        <v>0.5</v>
      </c>
      <c r="I21" s="12">
        <v>3</v>
      </c>
      <c r="J21" s="12">
        <v>15</v>
      </c>
      <c r="K21" s="12">
        <f t="shared" si="1"/>
        <v>22.5</v>
      </c>
    </row>
    <row r="22" spans="1:11" ht="108.75" customHeight="1" x14ac:dyDescent="0.2">
      <c r="A22" s="13" t="s">
        <v>77</v>
      </c>
      <c r="B22" s="12">
        <v>3</v>
      </c>
      <c r="C22" s="12">
        <v>3</v>
      </c>
      <c r="D22" s="12">
        <v>7</v>
      </c>
      <c r="E22" s="12">
        <f t="shared" si="0"/>
        <v>63</v>
      </c>
      <c r="F22" s="14" t="s">
        <v>106</v>
      </c>
      <c r="G22" s="18" t="s">
        <v>84</v>
      </c>
      <c r="H22" s="12">
        <v>1</v>
      </c>
      <c r="I22" s="12">
        <v>3</v>
      </c>
      <c r="J22" s="12">
        <v>7</v>
      </c>
      <c r="K22" s="12">
        <f t="shared" si="1"/>
        <v>21</v>
      </c>
    </row>
    <row r="23" spans="1:11" ht="94.5" customHeight="1" x14ac:dyDescent="0.2">
      <c r="A23" s="9" t="s">
        <v>89</v>
      </c>
      <c r="B23" s="12">
        <v>3</v>
      </c>
      <c r="C23" s="12">
        <v>6</v>
      </c>
      <c r="D23" s="12">
        <v>15</v>
      </c>
      <c r="E23" s="12">
        <f t="shared" ref="E23:E29" si="2">B23*C23*D23</f>
        <v>270</v>
      </c>
      <c r="F23" s="14" t="s">
        <v>128</v>
      </c>
      <c r="G23" s="9" t="s">
        <v>90</v>
      </c>
      <c r="H23" s="12">
        <v>1</v>
      </c>
      <c r="I23" s="12">
        <v>3</v>
      </c>
      <c r="J23" s="12">
        <v>3</v>
      </c>
      <c r="K23" s="12">
        <f t="shared" ref="K23:K40" si="3">H23*I23*J23</f>
        <v>9</v>
      </c>
    </row>
    <row r="24" spans="1:11" ht="145.5" customHeight="1" x14ac:dyDescent="0.2">
      <c r="A24" s="9" t="s">
        <v>125</v>
      </c>
      <c r="B24" s="12">
        <v>3</v>
      </c>
      <c r="C24" s="12">
        <v>6</v>
      </c>
      <c r="D24" s="12">
        <v>15</v>
      </c>
      <c r="E24" s="12">
        <f t="shared" si="2"/>
        <v>270</v>
      </c>
      <c r="F24" s="39" t="s">
        <v>143</v>
      </c>
      <c r="G24" s="23" t="s">
        <v>144</v>
      </c>
      <c r="H24" s="12">
        <v>1</v>
      </c>
      <c r="I24" s="12">
        <v>3</v>
      </c>
      <c r="J24" s="12">
        <v>3</v>
      </c>
      <c r="K24" s="12">
        <f t="shared" si="3"/>
        <v>9</v>
      </c>
    </row>
    <row r="25" spans="1:11" ht="60.75" customHeight="1" x14ac:dyDescent="0.2">
      <c r="A25" s="9" t="s">
        <v>65</v>
      </c>
      <c r="B25" s="12">
        <v>3</v>
      </c>
      <c r="C25" s="12">
        <v>6</v>
      </c>
      <c r="D25" s="12">
        <v>1</v>
      </c>
      <c r="E25" s="12">
        <f t="shared" si="2"/>
        <v>18</v>
      </c>
      <c r="F25" s="33" t="s">
        <v>120</v>
      </c>
      <c r="G25" s="33" t="s">
        <v>119</v>
      </c>
      <c r="H25" s="12">
        <v>1</v>
      </c>
      <c r="I25" s="12">
        <v>6</v>
      </c>
      <c r="J25" s="12">
        <v>1</v>
      </c>
      <c r="K25" s="12">
        <f t="shared" si="3"/>
        <v>6</v>
      </c>
    </row>
    <row r="26" spans="1:11" ht="123.75" customHeight="1" x14ac:dyDescent="0.2">
      <c r="A26" s="9" t="s">
        <v>61</v>
      </c>
      <c r="B26" s="12">
        <v>3</v>
      </c>
      <c r="C26" s="12">
        <v>2</v>
      </c>
      <c r="D26" s="12">
        <v>15</v>
      </c>
      <c r="E26" s="12">
        <f t="shared" si="2"/>
        <v>90</v>
      </c>
      <c r="F26" s="14" t="s">
        <v>123</v>
      </c>
      <c r="G26" s="18" t="s">
        <v>84</v>
      </c>
      <c r="H26" s="12">
        <v>1</v>
      </c>
      <c r="I26" s="12">
        <v>1</v>
      </c>
      <c r="J26" s="12">
        <v>7</v>
      </c>
      <c r="K26" s="12">
        <f t="shared" si="3"/>
        <v>7</v>
      </c>
    </row>
    <row r="27" spans="1:11" ht="41.25" customHeight="1" x14ac:dyDescent="0.2">
      <c r="A27" s="9" t="s">
        <v>66</v>
      </c>
      <c r="B27" s="12">
        <v>3</v>
      </c>
      <c r="C27" s="12">
        <v>6</v>
      </c>
      <c r="D27" s="12">
        <v>15</v>
      </c>
      <c r="E27" s="12">
        <f t="shared" si="2"/>
        <v>270</v>
      </c>
      <c r="F27" s="33" t="s">
        <v>142</v>
      </c>
      <c r="G27" s="23" t="s">
        <v>141</v>
      </c>
      <c r="H27" s="12">
        <v>3</v>
      </c>
      <c r="I27" s="12">
        <v>3</v>
      </c>
      <c r="J27" s="12">
        <v>3</v>
      </c>
      <c r="K27" s="12">
        <f t="shared" si="3"/>
        <v>27</v>
      </c>
    </row>
    <row r="28" spans="1:11" ht="90.75" customHeight="1" x14ac:dyDescent="0.2">
      <c r="A28" s="9" t="s">
        <v>91</v>
      </c>
      <c r="B28" s="12">
        <v>3</v>
      </c>
      <c r="C28" s="12">
        <v>3</v>
      </c>
      <c r="D28" s="12">
        <v>15</v>
      </c>
      <c r="E28" s="12">
        <f t="shared" si="2"/>
        <v>135</v>
      </c>
      <c r="F28" s="14" t="s">
        <v>85</v>
      </c>
      <c r="G28" s="23" t="s">
        <v>111</v>
      </c>
      <c r="H28" s="12">
        <v>0.5</v>
      </c>
      <c r="I28" s="12">
        <v>3</v>
      </c>
      <c r="J28" s="12">
        <v>7</v>
      </c>
      <c r="K28" s="12">
        <f t="shared" si="3"/>
        <v>10.5</v>
      </c>
    </row>
    <row r="29" spans="1:11" ht="92.25" customHeight="1" x14ac:dyDescent="0.2">
      <c r="A29" s="9" t="s">
        <v>78</v>
      </c>
      <c r="B29" s="12">
        <v>10</v>
      </c>
      <c r="C29" s="12">
        <v>3</v>
      </c>
      <c r="D29" s="12">
        <v>15</v>
      </c>
      <c r="E29" s="12">
        <f t="shared" si="2"/>
        <v>450</v>
      </c>
      <c r="F29" s="33" t="s">
        <v>137</v>
      </c>
      <c r="G29" s="9" t="s">
        <v>129</v>
      </c>
      <c r="H29" s="12">
        <v>1</v>
      </c>
      <c r="I29" s="12">
        <v>3</v>
      </c>
      <c r="J29" s="12">
        <v>15</v>
      </c>
      <c r="K29" s="12">
        <f t="shared" si="3"/>
        <v>45</v>
      </c>
    </row>
    <row r="30" spans="1:11" ht="244.5" customHeight="1" x14ac:dyDescent="0.2">
      <c r="A30" s="9" t="s">
        <v>13</v>
      </c>
      <c r="B30" s="12">
        <v>3</v>
      </c>
      <c r="C30" s="12">
        <v>6</v>
      </c>
      <c r="D30" s="12">
        <v>3</v>
      </c>
      <c r="E30" s="12">
        <f t="shared" ref="E30:E38" si="4">B30*C30*D30</f>
        <v>54</v>
      </c>
      <c r="F30" s="33" t="s">
        <v>118</v>
      </c>
      <c r="G30" s="18" t="s">
        <v>126</v>
      </c>
      <c r="H30" s="12">
        <v>0.2</v>
      </c>
      <c r="I30" s="12">
        <v>6</v>
      </c>
      <c r="J30" s="12">
        <v>3</v>
      </c>
      <c r="K30" s="12">
        <f t="shared" si="3"/>
        <v>3.6000000000000005</v>
      </c>
    </row>
    <row r="31" spans="1:11" ht="213.75" customHeight="1" x14ac:dyDescent="0.2">
      <c r="A31" s="10" t="s">
        <v>16</v>
      </c>
      <c r="B31" s="12">
        <v>3</v>
      </c>
      <c r="C31" s="12">
        <v>3</v>
      </c>
      <c r="D31" s="12">
        <v>15</v>
      </c>
      <c r="E31" s="12">
        <f t="shared" si="4"/>
        <v>135</v>
      </c>
      <c r="F31" s="14" t="s">
        <v>130</v>
      </c>
      <c r="G31" s="23" t="s">
        <v>114</v>
      </c>
      <c r="H31" s="12">
        <v>0.2</v>
      </c>
      <c r="I31" s="12">
        <v>1</v>
      </c>
      <c r="J31" s="12">
        <v>7</v>
      </c>
      <c r="K31" s="12">
        <f t="shared" si="3"/>
        <v>1.4000000000000001</v>
      </c>
    </row>
    <row r="32" spans="1:11" ht="46.5" customHeight="1" x14ac:dyDescent="0.2">
      <c r="A32" s="9" t="s">
        <v>0</v>
      </c>
      <c r="B32" s="12">
        <v>6</v>
      </c>
      <c r="C32" s="12">
        <v>2</v>
      </c>
      <c r="D32" s="12">
        <v>15</v>
      </c>
      <c r="E32" s="12">
        <f t="shared" si="4"/>
        <v>180</v>
      </c>
      <c r="F32" s="33" t="s">
        <v>132</v>
      </c>
      <c r="G32" s="23" t="s">
        <v>133</v>
      </c>
      <c r="H32" s="12">
        <v>0.5</v>
      </c>
      <c r="I32" s="12">
        <v>2</v>
      </c>
      <c r="J32" s="12">
        <v>15</v>
      </c>
      <c r="K32" s="12">
        <f t="shared" si="3"/>
        <v>15</v>
      </c>
    </row>
    <row r="33" spans="1:11" ht="76.5" x14ac:dyDescent="0.2">
      <c r="A33" s="9" t="s">
        <v>12</v>
      </c>
      <c r="B33" s="12">
        <v>10</v>
      </c>
      <c r="C33" s="12">
        <v>2</v>
      </c>
      <c r="D33" s="12">
        <v>15</v>
      </c>
      <c r="E33" s="12">
        <f>B33*C33*D33</f>
        <v>300</v>
      </c>
      <c r="F33" s="14"/>
      <c r="G33" s="33" t="s">
        <v>101</v>
      </c>
      <c r="H33" s="12">
        <v>1</v>
      </c>
      <c r="I33" s="12">
        <v>2</v>
      </c>
      <c r="J33" s="12">
        <v>15</v>
      </c>
      <c r="K33" s="12">
        <f t="shared" si="3"/>
        <v>30</v>
      </c>
    </row>
    <row r="34" spans="1:11" ht="112.5" customHeight="1" x14ac:dyDescent="0.2">
      <c r="A34" s="59" t="s">
        <v>14</v>
      </c>
      <c r="B34" s="12">
        <v>10</v>
      </c>
      <c r="C34" s="12">
        <v>3</v>
      </c>
      <c r="D34" s="12">
        <v>15</v>
      </c>
      <c r="E34" s="12">
        <f t="shared" si="4"/>
        <v>450</v>
      </c>
      <c r="F34" s="14" t="s">
        <v>92</v>
      </c>
      <c r="G34" s="18" t="s">
        <v>86</v>
      </c>
      <c r="H34" s="12">
        <v>0.5</v>
      </c>
      <c r="I34" s="12">
        <v>3</v>
      </c>
      <c r="J34" s="12">
        <v>15</v>
      </c>
      <c r="K34" s="12">
        <f t="shared" si="3"/>
        <v>22.5</v>
      </c>
    </row>
    <row r="35" spans="1:11" ht="25.5" x14ac:dyDescent="0.2">
      <c r="A35" s="60"/>
      <c r="B35" s="12">
        <v>3</v>
      </c>
      <c r="C35" s="12">
        <v>3</v>
      </c>
      <c r="D35" s="12">
        <v>15</v>
      </c>
      <c r="E35" s="12">
        <f t="shared" si="4"/>
        <v>135</v>
      </c>
      <c r="F35" s="33" t="s">
        <v>108</v>
      </c>
      <c r="G35" s="23" t="s">
        <v>109</v>
      </c>
      <c r="H35" s="12">
        <v>0.5</v>
      </c>
      <c r="I35" s="12">
        <v>3</v>
      </c>
      <c r="J35" s="12">
        <v>15</v>
      </c>
      <c r="K35" s="12">
        <f t="shared" si="3"/>
        <v>22.5</v>
      </c>
    </row>
    <row r="36" spans="1:11" ht="108.75" customHeight="1" x14ac:dyDescent="0.2">
      <c r="A36" s="9" t="s">
        <v>15</v>
      </c>
      <c r="B36" s="12">
        <v>1</v>
      </c>
      <c r="C36" s="12">
        <v>0.5</v>
      </c>
      <c r="D36" s="12">
        <v>15</v>
      </c>
      <c r="E36" s="12">
        <f t="shared" si="4"/>
        <v>7.5</v>
      </c>
      <c r="F36" s="14" t="s">
        <v>107</v>
      </c>
      <c r="G36" s="23" t="s">
        <v>110</v>
      </c>
      <c r="H36" s="12">
        <v>0.2</v>
      </c>
      <c r="I36" s="12">
        <v>0.5</v>
      </c>
      <c r="J36" s="12">
        <v>15</v>
      </c>
      <c r="K36" s="12">
        <f t="shared" si="3"/>
        <v>1.5</v>
      </c>
    </row>
    <row r="37" spans="1:11" ht="101.25" customHeight="1" x14ac:dyDescent="0.2">
      <c r="A37" s="9" t="s">
        <v>62</v>
      </c>
      <c r="B37" s="12">
        <v>6</v>
      </c>
      <c r="C37" s="12">
        <v>6</v>
      </c>
      <c r="D37" s="12">
        <v>15</v>
      </c>
      <c r="E37" s="12">
        <f t="shared" si="4"/>
        <v>540</v>
      </c>
      <c r="F37" s="34" t="s">
        <v>138</v>
      </c>
      <c r="G37" s="18" t="s">
        <v>93</v>
      </c>
      <c r="H37" s="12">
        <v>0.5</v>
      </c>
      <c r="I37" s="12">
        <v>6</v>
      </c>
      <c r="J37" s="12">
        <v>15</v>
      </c>
      <c r="K37" s="12">
        <f t="shared" si="3"/>
        <v>45</v>
      </c>
    </row>
    <row r="38" spans="1:11" ht="62.25" customHeight="1" x14ac:dyDescent="0.2">
      <c r="A38" s="9" t="s">
        <v>63</v>
      </c>
      <c r="B38" s="12">
        <v>6</v>
      </c>
      <c r="C38" s="12">
        <v>6</v>
      </c>
      <c r="D38" s="12">
        <v>15</v>
      </c>
      <c r="E38" s="12">
        <f t="shared" si="4"/>
        <v>540</v>
      </c>
      <c r="F38" s="61" t="s">
        <v>117</v>
      </c>
      <c r="G38" s="21" t="s">
        <v>140</v>
      </c>
      <c r="H38" s="12">
        <v>1</v>
      </c>
      <c r="I38" s="12">
        <v>6</v>
      </c>
      <c r="J38" s="12">
        <v>7</v>
      </c>
      <c r="K38" s="12">
        <f t="shared" si="3"/>
        <v>42</v>
      </c>
    </row>
    <row r="39" spans="1:11" ht="71.25" customHeight="1" x14ac:dyDescent="0.2">
      <c r="A39" s="9" t="s">
        <v>64</v>
      </c>
      <c r="B39" s="12">
        <v>6</v>
      </c>
      <c r="C39" s="12">
        <v>6</v>
      </c>
      <c r="D39" s="12">
        <v>15</v>
      </c>
      <c r="E39" s="12">
        <f>B39*C39*D39</f>
        <v>540</v>
      </c>
      <c r="F39" s="33" t="s">
        <v>139</v>
      </c>
      <c r="G39" s="9" t="s">
        <v>87</v>
      </c>
      <c r="H39" s="12">
        <v>1</v>
      </c>
      <c r="I39" s="12">
        <v>6</v>
      </c>
      <c r="J39" s="12">
        <v>7</v>
      </c>
      <c r="K39" s="12">
        <f t="shared" si="3"/>
        <v>42</v>
      </c>
    </row>
    <row r="40" spans="1:11" ht="192" customHeight="1" x14ac:dyDescent="0.2">
      <c r="A40" s="9" t="s">
        <v>79</v>
      </c>
      <c r="B40" s="12">
        <v>6</v>
      </c>
      <c r="C40" s="12">
        <v>3</v>
      </c>
      <c r="D40" s="12">
        <v>15</v>
      </c>
      <c r="E40" s="12">
        <f>B40*C40*D40</f>
        <v>270</v>
      </c>
      <c r="F40" s="40"/>
      <c r="G40" s="21" t="s">
        <v>131</v>
      </c>
      <c r="H40" s="12">
        <v>0.5</v>
      </c>
      <c r="I40" s="12">
        <v>3</v>
      </c>
      <c r="J40" s="12">
        <v>15</v>
      </c>
      <c r="K40" s="12">
        <f t="shared" si="3"/>
        <v>22.5</v>
      </c>
    </row>
    <row r="41" spans="1:11" ht="24.75" customHeight="1" x14ac:dyDescent="0.2">
      <c r="A41" s="52" t="s">
        <v>95</v>
      </c>
      <c r="B41" s="53"/>
      <c r="C41" s="53"/>
      <c r="D41" s="53"/>
      <c r="E41" s="53"/>
      <c r="F41" s="53"/>
      <c r="G41" s="53"/>
      <c r="H41" s="53"/>
      <c r="I41" s="53"/>
      <c r="J41" s="53"/>
      <c r="K41" s="54"/>
    </row>
    <row r="42" spans="1:11" x14ac:dyDescent="0.2">
      <c r="A42" s="3" t="s">
        <v>55</v>
      </c>
      <c r="B42" s="4" t="s">
        <v>53</v>
      </c>
      <c r="C42" s="4" t="s">
        <v>54</v>
      </c>
      <c r="D42" s="4" t="s">
        <v>20</v>
      </c>
      <c r="E42" s="4" t="s">
        <v>56</v>
      </c>
      <c r="F42" s="17" t="s">
        <v>58</v>
      </c>
      <c r="G42" s="17" t="s">
        <v>59</v>
      </c>
      <c r="H42" s="4" t="s">
        <v>53</v>
      </c>
      <c r="I42" s="4" t="s">
        <v>54</v>
      </c>
      <c r="J42" s="4" t="s">
        <v>20</v>
      </c>
      <c r="K42" s="4" t="s">
        <v>56</v>
      </c>
    </row>
    <row r="43" spans="1:11" x14ac:dyDescent="0.2">
      <c r="A43" s="20"/>
      <c r="B43" s="12"/>
      <c r="C43" s="12"/>
      <c r="D43" s="12"/>
      <c r="E43" s="12">
        <f>B43*C43*D43</f>
        <v>0</v>
      </c>
      <c r="F43" s="14"/>
      <c r="G43" s="22"/>
      <c r="H43" s="12"/>
      <c r="I43" s="12"/>
      <c r="J43" s="12"/>
      <c r="K43" s="12">
        <f>H43*I43*J43</f>
        <v>0</v>
      </c>
    </row>
    <row r="44" spans="1:11" ht="47.25" customHeight="1" x14ac:dyDescent="0.2">
      <c r="A44" s="23"/>
      <c r="B44" s="32"/>
      <c r="C44" s="32"/>
      <c r="D44" s="32"/>
      <c r="E44" s="32">
        <f>B44*C44*D44</f>
        <v>0</v>
      </c>
      <c r="F44" s="33"/>
      <c r="G44" s="21"/>
      <c r="H44" s="32"/>
      <c r="I44" s="32"/>
      <c r="J44" s="32"/>
      <c r="K44" s="32">
        <f>H44*I44*J44</f>
        <v>0</v>
      </c>
    </row>
  </sheetData>
  <mergeCells count="13">
    <mergeCell ref="H9:K10"/>
    <mergeCell ref="A41:K41"/>
    <mergeCell ref="B7:E7"/>
    <mergeCell ref="B8:E8"/>
    <mergeCell ref="B9:E9"/>
    <mergeCell ref="B10:E10"/>
    <mergeCell ref="A34:A35"/>
    <mergeCell ref="B6:E6"/>
    <mergeCell ref="B1:E1"/>
    <mergeCell ref="B2:E2"/>
    <mergeCell ref="B3:E3"/>
    <mergeCell ref="B4:E4"/>
    <mergeCell ref="B5:E5"/>
  </mergeCells>
  <conditionalFormatting sqref="E12:E40">
    <cfRule type="cellIs" dxfId="15" priority="13" stopIfTrue="1" operator="between">
      <formula>200.0000001</formula>
      <formula>10000</formula>
    </cfRule>
    <cfRule type="cellIs" dxfId="14" priority="14" stopIfTrue="1" operator="between">
      <formula>70.0000001</formula>
      <formula>200</formula>
    </cfRule>
    <cfRule type="cellIs" dxfId="13" priority="15" stopIfTrue="1" operator="between">
      <formula>20.0000001</formula>
      <formula>70</formula>
    </cfRule>
    <cfRule type="cellIs" dxfId="12" priority="16" stopIfTrue="1" operator="between">
      <formula>0</formula>
      <formula>20</formula>
    </cfRule>
  </conditionalFormatting>
  <conditionalFormatting sqref="E43:E44">
    <cfRule type="cellIs" dxfId="11" priority="9" stopIfTrue="1" operator="between">
      <formula>200.0000001</formula>
      <formula>10000</formula>
    </cfRule>
    <cfRule type="cellIs" dxfId="10" priority="10" stopIfTrue="1" operator="between">
      <formula>70.00000001</formula>
      <formula>200</formula>
    </cfRule>
    <cfRule type="cellIs" dxfId="9" priority="11" stopIfTrue="1" operator="between">
      <formula>20.000001</formula>
      <formula>70</formula>
    </cfRule>
    <cfRule type="cellIs" dxfId="8" priority="12" stopIfTrue="1" operator="between">
      <formula>0</formula>
      <formula>20</formula>
    </cfRule>
  </conditionalFormatting>
  <conditionalFormatting sqref="K12:K40">
    <cfRule type="cellIs" dxfId="7" priority="5" stopIfTrue="1" operator="between">
      <formula>200.0000001</formula>
      <formula>10000</formula>
    </cfRule>
    <cfRule type="cellIs" dxfId="6" priority="6" stopIfTrue="1" operator="between">
      <formula>70.0000000001</formula>
      <formula>200</formula>
    </cfRule>
    <cfRule type="cellIs" dxfId="5" priority="7" stopIfTrue="1" operator="between">
      <formula>20.0000001</formula>
      <formula>70</formula>
    </cfRule>
    <cfRule type="cellIs" dxfId="4" priority="8" stopIfTrue="1" operator="between">
      <formula>0</formula>
      <formula>20</formula>
    </cfRule>
  </conditionalFormatting>
  <conditionalFormatting sqref="K43:K44">
    <cfRule type="cellIs" dxfId="3" priority="1" stopIfTrue="1" operator="between">
      <formula>200.0000001</formula>
      <formula>10000</formula>
    </cfRule>
    <cfRule type="cellIs" dxfId="2" priority="2" stopIfTrue="1" operator="between">
      <formula>70.00000001</formula>
      <formula>200</formula>
    </cfRule>
    <cfRule type="cellIs" dxfId="1" priority="3" stopIfTrue="1" operator="between">
      <formula>20.000001</formula>
      <formula>70</formula>
    </cfRule>
    <cfRule type="cellIs" dxfId="0" priority="4" stopIfTrue="1" operator="between">
      <formula>0</formula>
      <formula>20</formula>
    </cfRule>
  </conditionalFormatting>
  <pageMargins left="0.25" right="0.25" top="0.75" bottom="0.75" header="0.3" footer="0.3"/>
  <pageSetup paperSize="8" scale="70" orientation="landscape" r:id="rId1"/>
  <headerFooter alignWithMargins="0"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D33A1362FE24D93D36F5ACAA57D21" ma:contentTypeVersion="59" ma:contentTypeDescription="Create a new document." ma:contentTypeScope="" ma:versionID="f35e96d1261a0f758096ddc001c1c8fd">
  <xsd:schema xmlns:xsd="http://www.w3.org/2001/XMLSchema" xmlns:xs="http://www.w3.org/2001/XMLSchema" xmlns:p="http://schemas.microsoft.com/office/2006/metadata/properties" xmlns:ns2="aba5a46e-1a19-46c2-9d5f-86063d1c04f3" xmlns:ns3="5920fc89-9b9e-4ed2-9bc3-359895254a97" targetNamespace="http://schemas.microsoft.com/office/2006/metadata/properties" ma:root="true" ma:fieldsID="64a29a6e81d0079df692b056afd4f2c2" ns2:_="" ns3:_="">
    <xsd:import namespace="aba5a46e-1a19-46c2-9d5f-86063d1c04f3"/>
    <xsd:import namespace="5920fc89-9b9e-4ed2-9bc3-359895254a97"/>
    <xsd:element name="properties">
      <xsd:complexType>
        <xsd:sequence>
          <xsd:element name="documentManagement">
            <xsd:complexType>
              <xsd:all>
                <xsd:element ref="ns2:Document_x0020_Type"/>
                <xsd:element ref="ns2:Document_x0020_Sub_x0020_Type"/>
                <xsd:element ref="ns2:DocumentID" minOccurs="0"/>
                <xsd:element ref="ns2:Equipment_x0020_ID" minOccurs="0"/>
                <xsd:element ref="ns2:Location_x0020_ID" minOccurs="0"/>
                <xsd:element ref="ns2:Document_x0020_Relation_x0020_Type"/>
                <xsd:element ref="ns2:Document_x0020_Language" minOccurs="0"/>
                <xsd:element ref="ns2:Papercopy_x0020_File" minOccurs="0"/>
                <xsd:element ref="ns2:Release_x0020_Date" minOccurs="0"/>
                <xsd:element ref="ns2:Filetype" minOccurs="0"/>
                <xsd:element ref="ns2:Electric_x0020_Board_x0020_ID" minOccurs="0"/>
                <xsd:element ref="ns2:Papercopy_x0020_Cupboard" minOccurs="0"/>
                <xsd:element ref="ns2:RG_WF_name" minOccurs="0"/>
                <xsd:element ref="ns2:RG_WF_type" minOccurs="0"/>
                <xsd:element ref="ns2:RG_WF_language" minOccurs="0"/>
                <xsd:element ref="ns2:MediaServiceMetadata" minOccurs="0"/>
                <xsd:element ref="ns2:MediaServiceFastMetadata" minOccurs="0"/>
                <xsd:element ref="ns3:_dlc_DocId" minOccurs="0"/>
                <xsd:element ref="ns3:_dlc_DocIdUrl" minOccurs="0"/>
                <xsd:element ref="ns3:_dlc_DocIdPersistId" minOccurs="0"/>
                <xsd:element ref="ns2:RG_WF_disp_nam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RG_x0020_Synchronize_x0020_Document_x0020_Type" minOccurs="0"/>
                <xsd:element ref="ns2:Location"/>
                <xsd:element ref="ns2:BatchID" minOccurs="0"/>
                <xsd:element ref="ns2:M2S_x0020_Notes" minOccurs="0"/>
                <xsd:element ref="ns2:M2S_x0020_Equipment_x0020_ID" minOccurs="0"/>
                <xsd:element ref="ns2:M2S_x0020_Override" minOccurs="0"/>
                <xsd:element ref="ns2:M2S_x0020_New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InstrReq" minOccurs="0"/>
                <xsd:element ref="ns2:MediaServiceObjectDetectorVersions" minOccurs="0"/>
                <xsd:element ref="ns2:DocLink_x003f_" minOccurs="0"/>
                <xsd:element ref="ns2:MediaServiceSearchProperties" minOccurs="0"/>
                <xsd:element ref="ns2:M2S_ReqN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5a46e-1a19-46c2-9d5f-86063d1c04f3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2" ma:displayName="Document Type" ma:indexed="true" ma:list="{6163f1cf-9a83-41d8-8c61-4ff74b15add6}" ma:internalName="Document_x0020_Type" ma:showField="Title">
      <xsd:simpleType>
        <xsd:restriction base="dms:Lookup"/>
      </xsd:simpleType>
    </xsd:element>
    <xsd:element name="Document_x0020_Sub_x0020_Type" ma:index="3" ma:displayName="Document Sub Type" ma:indexed="true" ma:list="{4b2692e4-e7b4-4a8c-86cc-f70ac0e815f1}" ma:internalName="Document_x0020_Sub_x0020_Type" ma:showField="Title">
      <xsd:simpleType>
        <xsd:restriction base="dms:Lookup"/>
      </xsd:simpleType>
    </xsd:element>
    <xsd:element name="DocumentID" ma:index="4" nillable="true" ma:displayName="Document ID" ma:format="Dropdown" ma:indexed="true" ma:internalName="DocumentID">
      <xsd:simpleType>
        <xsd:restriction base="dms:Text">
          <xsd:maxLength value="255"/>
        </xsd:restriction>
      </xsd:simpleType>
    </xsd:element>
    <xsd:element name="Equipment_x0020_ID" ma:index="5" nillable="true" ma:displayName="Equipment ID" ma:list="{33101d7b-be24-4ad2-a71c-5c297eac45d5}" ma:internalName="Equipment_x0020_ID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ocation_x0020_ID" ma:index="6" nillable="true" ma:displayName="Location ID" ma:list="{f0ae0007-3476-4348-82ee-4fd752cbea6c}" ma:internalName="Location_x0020_ID" ma:showField="Location_x0020_I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_x0020_Relation_x0020_Type" ma:index="7" ma:displayName="Document Relation Type" ma:format="Dropdown" ma:internalName="Document_x0020_Relation_x0020_Type">
      <xsd:simpleType>
        <xsd:restriction base="dms:Choice">
          <xsd:enumeration value="Building"/>
          <xsd:enumeration value="Equipment"/>
          <xsd:enumeration value="General"/>
        </xsd:restriction>
      </xsd:simpleType>
    </xsd:element>
    <xsd:element name="Document_x0020_Language" ma:index="8" nillable="true" ma:displayName="Document Language" ma:list="{da7eb622-0eec-40dc-8752-7eb9c8be8702}" ma:internalName="Document_x0020_Languag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apercopy_x0020_File" ma:index="9" nillable="true" ma:displayName="Papercopy Binder" ma:internalName="Papercopy_x0020_File">
      <xsd:simpleType>
        <xsd:restriction base="dms:Text">
          <xsd:maxLength value="255"/>
        </xsd:restriction>
      </xsd:simpleType>
    </xsd:element>
    <xsd:element name="Release_x0020_Date" ma:index="10" nillable="true" ma:displayName="Release Date" ma:format="DateOnly" ma:internalName="Release_x0020_Date">
      <xsd:simpleType>
        <xsd:restriction base="dms:DateTime"/>
      </xsd:simpleType>
    </xsd:element>
    <xsd:element name="Filetype" ma:index="11" nillable="true" ma:displayName="Filetype" ma:format="Dropdown" ma:internalName="Filetype">
      <xsd:simpleType>
        <xsd:restriction base="dms:Choice">
          <xsd:enumeration value="E-plan"/>
          <xsd:enumeration value="PDF"/>
          <xsd:enumeration value="DOC"/>
          <xsd:enumeration value="XLS"/>
          <xsd:enumeration value="DWG"/>
          <xsd:enumeration value="MP4"/>
          <xsd:enumeration value="ZIP"/>
          <xsd:enumeration value="PPT"/>
        </xsd:restriction>
      </xsd:simpleType>
    </xsd:element>
    <xsd:element name="Electric_x0020_Board_x0020_ID" ma:index="12" nillable="true" ma:displayName="Electric Board ID" ma:indexed="true" ma:internalName="Electric_x0020_Board_x0020_ID">
      <xsd:simpleType>
        <xsd:restriction base="dms:Text">
          <xsd:maxLength value="255"/>
        </xsd:restriction>
      </xsd:simpleType>
    </xsd:element>
    <xsd:element name="Papercopy_x0020_Cupboard" ma:index="13" nillable="true" ma:displayName="Papercopy Cupboard" ma:decimals="0" ma:internalName="Papercopy_x0020_Cupboard">
      <xsd:simpleType>
        <xsd:restriction base="dms:Number"/>
      </xsd:simpleType>
    </xsd:element>
    <xsd:element name="RG_WF_name" ma:index="14" nillable="true" ma:displayName="RG_WF_name" ma:hidden="true" ma:internalName="RG_WF_name" ma:readOnly="false">
      <xsd:simpleType>
        <xsd:restriction base="dms:Text">
          <xsd:maxLength value="255"/>
        </xsd:restriction>
      </xsd:simpleType>
    </xsd:element>
    <xsd:element name="RG_WF_type" ma:index="15" nillable="true" ma:displayName="RG_WF_type" ma:hidden="true" ma:internalName="RG_WF_type" ma:readOnly="false">
      <xsd:simpleType>
        <xsd:restriction base="dms:Text">
          <xsd:maxLength value="255"/>
        </xsd:restriction>
      </xsd:simpleType>
    </xsd:element>
    <xsd:element name="RG_WF_language" ma:index="18" nillable="true" ma:displayName="RG_WF_language" ma:hidden="true" ma:internalName="RG_WF_language" ma:readOnly="false">
      <xsd:simpleType>
        <xsd:restriction base="dms:Text">
          <xsd:maxLength value="255"/>
        </xsd:restriction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RG_WF_disp_name" ma:index="27" nillable="true" ma:displayName="RG_WF_disp_name" ma:hidden="true" ma:internalName="RG_WF_disp_name" ma:readOnly="false">
      <xsd:simpleType>
        <xsd:restriction base="dms:Text">
          <xsd:maxLength value="255"/>
        </xsd:restriction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3" nillable="true" ma:displayName="MediaServiceDateTaken" ma:hidden="true" ma:internalName="MediaServiceDateTaken" ma:readOnly="true">
      <xsd:simpleType>
        <xsd:restriction base="dms:Text"/>
      </xsd:simpleType>
    </xsd:element>
    <xsd:element name="RG_x0020_Synchronize_x0020_Document_x0020_Type" ma:index="34" nillable="true" ma:displayName="RG Synchronize Document Type" ma:internalName="RG_x0020_Synchronize_x0020_Document_x0020_Typ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ocation" ma:index="35" ma:displayName="Location" ma:format="Dropdown" ma:internalName="Location">
      <xsd:simpleType>
        <xsd:restriction base="dms:Choice">
          <xsd:enumeration value="Global"/>
          <xsd:enumeration value="Moeskroen"/>
          <xsd:enumeration value="Vilvoorde"/>
        </xsd:restriction>
      </xsd:simpleType>
    </xsd:element>
    <xsd:element name="BatchID" ma:index="36" nillable="true" ma:displayName="BatchID" ma:decimals="0" ma:hidden="true" ma:internalName="BatchID" ma:readOnly="false">
      <xsd:simpleType>
        <xsd:restriction base="dms:Number"/>
      </xsd:simpleType>
    </xsd:element>
    <xsd:element name="M2S_x0020_Notes" ma:index="37" nillable="true" ma:displayName="M2S Notes" ma:internalName="M2S_x0020_Notes">
      <xsd:simpleType>
        <xsd:restriction base="dms:Note">
          <xsd:maxLength value="255"/>
        </xsd:restriction>
      </xsd:simpleType>
    </xsd:element>
    <xsd:element name="M2S_x0020_Equipment_x0020_ID" ma:index="38" nillable="true" ma:displayName="M2S Equipment ID" ma:internalName="M2S_x0020_Equipment_x0020_ID">
      <xsd:simpleType>
        <xsd:restriction base="dms:Text">
          <xsd:maxLength value="255"/>
        </xsd:restriction>
      </xsd:simpleType>
    </xsd:element>
    <xsd:element name="M2S_x0020_Override" ma:index="39" nillable="true" ma:displayName="M2S Override" ma:default="0" ma:internalName="M2S_x0020_Override">
      <xsd:simpleType>
        <xsd:restriction base="dms:Boolean"/>
      </xsd:simpleType>
    </xsd:element>
    <xsd:element name="M2S_x0020_New" ma:index="40" nillable="true" ma:displayName="M2S New" ma:default="0" ma:internalName="M2S_x0020_New">
      <xsd:simpleType>
        <xsd:restriction base="dms:Boolea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17a0dbe1-8282-4a1b-9e52-b81f8cfc2a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4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6" nillable="true" ma:displayName="MediaServiceEventHashCode" ma:hidden="true" ma:internalName="MediaServiceEventHashCode" ma:readOnly="true">
      <xsd:simpleType>
        <xsd:restriction base="dms:Text"/>
      </xsd:simpleType>
    </xsd:element>
    <xsd:element name="InstrReq" ma:index="47" nillable="true" ma:displayName="InstrReq" ma:decimals="0" ma:internalName="InstrReq">
      <xsd:simpleType>
        <xsd:restriction base="dms:Number"/>
      </xsd:simpleType>
    </xsd:element>
    <xsd:element name="MediaServiceObjectDetectorVersions" ma:index="4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ocLink_x003f_" ma:index="49" nillable="true" ma:displayName="DocLink?" ma:default="0" ma:format="Dropdown" ma:internalName="DocLink_x003f_">
      <xsd:simpleType>
        <xsd:restriction base="dms:Boolean"/>
      </xsd:simpleType>
    </xsd:element>
    <xsd:element name="MediaServiceSearchProperties" ma:index="5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2S_ReqNr" ma:index="51" nillable="true" ma:displayName="M2S ReqNr" ma:format="Dropdown" ma:internalName="M2S_ReqN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0fc89-9b9e-4ed2-9bc3-359895254a97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3" nillable="true" ma:displayName="Taxonomy Catch All Column" ma:hidden="true" ma:list="{31a35d7b-2dd6-43ef-8ad9-c7bd0847a784}" ma:internalName="TaxCatchAll" ma:showField="CatchAllData" ma:web="5920fc89-9b9e-4ed2-9bc3-359895254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Document Description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Type xmlns="aba5a46e-1a19-46c2-9d5f-86063d1c04f3">25</Document_x0020_Type>
    <Document_x0020_Sub_x0020_Type xmlns="aba5a46e-1a19-46c2-9d5f-86063d1c04f3">1</Document_x0020_Sub_x0020_Type>
    <RG_WF_type xmlns="aba5a46e-1a19-46c2-9d5f-86063d1c04f3">RA Site</RG_WF_type>
    <Equipment_x0020_ID xmlns="aba5a46e-1a19-46c2-9d5f-86063d1c04f3" xsi:nil="true"/>
    <Location_x0020_ID xmlns="aba5a46e-1a19-46c2-9d5f-86063d1c04f3" xsi:nil="true"/>
    <RG_WF_disp_name xmlns="aba5a46e-1a19-46c2-9d5f-86063d1c04f3">risicoanalyse elektrische installatie center - </RG_WF_disp_name>
    <Electric_x0020_Board_x0020_ID xmlns="aba5a46e-1a19-46c2-9d5f-86063d1c04f3" xsi:nil="true"/>
    <Release_x0020_Date xmlns="aba5a46e-1a19-46c2-9d5f-86063d1c04f3" xsi:nil="true"/>
    <Papercopy_x0020_Cupboard xmlns="aba5a46e-1a19-46c2-9d5f-86063d1c04f3" xsi:nil="true"/>
    <RG_WF_language xmlns="aba5a46e-1a19-46c2-9d5f-86063d1c04f3">NL</RG_WF_language>
    <Document_x0020_Language xmlns="aba5a46e-1a19-46c2-9d5f-86063d1c04f3">
      <Value>1</Value>
    </Document_x0020_Language>
    <RG_WF_name xmlns="aba5a46e-1a19-46c2-9d5f-86063d1c04f3">risicoanalyse elektrische installatie center</RG_WF_name>
    <Document_x0020_Relation_x0020_Type xmlns="aba5a46e-1a19-46c2-9d5f-86063d1c04f3">Building</Document_x0020_Relation_x0020_Type>
    <Papercopy_x0020_File xmlns="aba5a46e-1a19-46c2-9d5f-86063d1c04f3" xsi:nil="true"/>
    <Filetype xmlns="aba5a46e-1a19-46c2-9d5f-86063d1c04f3">XLS</Filetype>
    <DocumentID xmlns="aba5a46e-1a19-46c2-9d5f-86063d1c04f3" xsi:nil="true"/>
    <_dlc_DocId xmlns="5920fc89-9b9e-4ed2-9bc3-359895254a97">SICVI-865455010-943</_dlc_DocId>
    <_dlc_DocIdUrl xmlns="5920fc89-9b9e-4ed2-9bc3-359895254a97">
      <Url>https://cargillonline.sharepoint.com/sites/VilvoordeSiteManagement/VAIS/_layouts/15/DocIdRedir.aspx?ID=SICVI-865455010-943</Url>
      <Description>SICVI-865455010-943</Description>
    </_dlc_DocIdUrl>
    <RG_x0020_Synchronize_x0020_Document_x0020_Type xmlns="aba5a46e-1a19-46c2-9d5f-86063d1c04f3">
      <Url xsi:nil="true"/>
      <Description xsi:nil="true"/>
    </RG_x0020_Synchronize_x0020_Document_x0020_Type>
    <Location xmlns="aba5a46e-1a19-46c2-9d5f-86063d1c04f3">Vilvoorde</Location>
    <BatchID xmlns="aba5a46e-1a19-46c2-9d5f-86063d1c04f3">943</BatchID>
    <M2S_x0020_New xmlns="aba5a46e-1a19-46c2-9d5f-86063d1c04f3">false</M2S_x0020_New>
    <M2S_x0020_Equipment_x0020_ID xmlns="aba5a46e-1a19-46c2-9d5f-86063d1c04f3" xsi:nil="true"/>
    <lcf76f155ced4ddcb4097134ff3c332f xmlns="aba5a46e-1a19-46c2-9d5f-86063d1c04f3">
      <Terms xmlns="http://schemas.microsoft.com/office/infopath/2007/PartnerControls"/>
    </lcf76f155ced4ddcb4097134ff3c332f>
    <M2S_x0020_Override xmlns="aba5a46e-1a19-46c2-9d5f-86063d1c04f3">false</M2S_x0020_Override>
    <M2S_x0020_Notes xmlns="aba5a46e-1a19-46c2-9d5f-86063d1c04f3" xsi:nil="true"/>
    <DocLink_x003f_ xmlns="aba5a46e-1a19-46c2-9d5f-86063d1c04f3">false</DocLink_x003f_>
    <TaxCatchAll xmlns="5920fc89-9b9e-4ed2-9bc3-359895254a97" xsi:nil="true"/>
    <InstrReq xmlns="aba5a46e-1a19-46c2-9d5f-86063d1c04f3" xsi:nil="true"/>
    <M2S_ReqNr xmlns="aba5a46e-1a19-46c2-9d5f-86063d1c04f3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7D84B4D-A98C-436F-96CB-478C1D6DADAD}"/>
</file>

<file path=customXml/itemProps2.xml><?xml version="1.0" encoding="utf-8"?>
<ds:datastoreItem xmlns:ds="http://schemas.openxmlformats.org/officeDocument/2006/customXml" ds:itemID="{3257D9FC-BF2A-4449-91B4-6144032032FD}"/>
</file>

<file path=customXml/itemProps3.xml><?xml version="1.0" encoding="utf-8"?>
<ds:datastoreItem xmlns:ds="http://schemas.openxmlformats.org/officeDocument/2006/customXml" ds:itemID="{19765DEB-4AB0-4FE5-A28F-EE8CAABD5A00}"/>
</file>

<file path=customXml/itemProps4.xml><?xml version="1.0" encoding="utf-8"?>
<ds:datastoreItem xmlns:ds="http://schemas.openxmlformats.org/officeDocument/2006/customXml" ds:itemID="{95965CCF-C5B3-4C74-86EE-FE1A1A50E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Algemeen</vt:lpstr>
      <vt:lpstr>RIE Oude elektr. inst.</vt:lpstr>
      <vt:lpstr>'RIE Oude elektr. inst.'!Print_Titles</vt:lpstr>
    </vt:vector>
  </TitlesOfParts>
  <Company>Cegelec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CEG</dc:creator>
  <cp:lastModifiedBy>Johan Draelants</cp:lastModifiedBy>
  <cp:lastPrinted>2016-04-06T07:40:12Z</cp:lastPrinted>
  <dcterms:created xsi:type="dcterms:W3CDTF">2006-04-26T07:03:41Z</dcterms:created>
  <dcterms:modified xsi:type="dcterms:W3CDTF">2016-04-06T12:36:32Z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0x0101004E1D33A1362FE24D93D36F5ACAA57D21</vt:lpwstr>
  </property>
  <property fmtid="{D5CDD505-2E9C-101B-9397-08002B2CF9AE}" pid="3" name="_dlc_DocIdItemGuid">
    <vt:lpwstr>93109ca7-ac77-4891-9f36-27824f8136b9</vt:lpwstr>
  </property>
  <property fmtid="{D5CDD505-2E9C-101B-9397-08002B2CF9AE}" pid="4" name="Set WF_name for Docs">
    <vt:lpwstr>https://cargillonline.sharepoint.com/sites/VilvoordeSiteManagement/VAIS/_layouts/15/wrkstat.aspx?List=aba5a46e-1a19-46c2-9d5f-86063d1c04f3&amp;WorkflowInstanceName=8e11e1b3-5d61-4526-a909-563066495254, Done</vt:lpwstr>
  </property>
</Properties>
</file>